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16" i="1" l="1"/>
  <c r="G17" i="1"/>
  <c r="G18" i="1"/>
  <c r="C16" i="2"/>
  <c r="C14" i="2"/>
  <c r="C13" i="2"/>
  <c r="C12" i="2"/>
  <c r="B4" i="1"/>
  <c r="G4" i="1"/>
  <c r="H5" i="1"/>
  <c r="H6" i="1"/>
  <c r="H7" i="1"/>
  <c r="H8" i="1"/>
  <c r="H9" i="1"/>
  <c r="H10" i="1"/>
  <c r="H11" i="1"/>
  <c r="H12" i="1"/>
  <c r="H4" i="1"/>
  <c r="K16" i="1"/>
  <c r="K15" i="1"/>
  <c r="J16" i="1"/>
  <c r="G5" i="1"/>
  <c r="G6" i="1"/>
  <c r="G7" i="1"/>
  <c r="G8" i="1"/>
  <c r="G9" i="1"/>
  <c r="G10" i="1"/>
  <c r="G11" i="1"/>
  <c r="G12" i="1"/>
  <c r="F4" i="1" l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4" i="1"/>
  <c r="B5" i="1" l="1"/>
  <c r="B6" i="1"/>
  <c r="B7" i="1"/>
  <c r="B8" i="1"/>
  <c r="B9" i="1"/>
  <c r="B10" i="1"/>
  <c r="B11" i="1"/>
  <c r="B12" i="1"/>
</calcChain>
</file>

<file path=xl/sharedStrings.xml><?xml version="1.0" encoding="utf-8"?>
<sst xmlns="http://schemas.openxmlformats.org/spreadsheetml/2006/main" count="48" uniqueCount="47">
  <si>
    <t>QUẢN LÝ CHO THUÊ MÁY TÍNH</t>
  </si>
  <si>
    <t>MÃ SỐ</t>
  </si>
  <si>
    <t>HÌNH THỨC THUÊ</t>
  </si>
  <si>
    <t>NHẬN MÁY</t>
  </si>
  <si>
    <t>TRẢ MÁY</t>
  </si>
  <si>
    <t>THỜI GIAN THUÊ</t>
  </si>
  <si>
    <t>TIỀN</t>
  </si>
  <si>
    <t>TIỀN PHẢI TRẢ</t>
  </si>
  <si>
    <t>GIỜ</t>
  </si>
  <si>
    <t>PHÚT</t>
  </si>
  <si>
    <t>01T</t>
  </si>
  <si>
    <t>02I</t>
  </si>
  <si>
    <t>03M</t>
  </si>
  <si>
    <t>06T</t>
  </si>
  <si>
    <t>09I</t>
  </si>
  <si>
    <t>01I</t>
  </si>
  <si>
    <t>05M</t>
  </si>
  <si>
    <t>08T</t>
  </si>
  <si>
    <t>BẢNG 1</t>
  </si>
  <si>
    <t>BẢNG THỐNG KÊ</t>
  </si>
  <si>
    <t>MÃ THUÊ</t>
  </si>
  <si>
    <t>Đơn giá</t>
  </si>
  <si>
    <t>STT Máy</t>
  </si>
  <si>
    <t>Doanh thu</t>
  </si>
  <si>
    <t>Đơn giá/1 giờ</t>
  </si>
  <si>
    <t>Đơn giá/1 phút</t>
  </si>
  <si>
    <t>Mô tả:</t>
  </si>
  <si>
    <t>- 2 ký tự đầu của Mã số cho biết STT Máy.</t>
  </si>
  <si>
    <t>- Ký tự cuối của Mã số cho biết Hình thức thuê máy là Thực hành (T), Internet (I) hay Check Mail (M).</t>
  </si>
  <si>
    <t>Yêu cầu:</t>
  </si>
  <si>
    <t>1- Hình thức thuê: dựa vào ký tự cuối của Mã số để điền giá trị thích hợp.</t>
  </si>
  <si>
    <t>2- Giờ = Trả máy - Nhận máy. Lưu ý: Chỉ lấy phần giờ.</t>
  </si>
  <si>
    <t xml:space="preserve">   Phút = Trả máy - Nhận máy. Lưu ý: Chỉ lấy phần phút.</t>
  </si>
  <si>
    <t>3- Tiền thuê:+ Nếu hình thức thuê là Check Mail thì tiền thuê là = 3500,</t>
  </si>
  <si>
    <t xml:space="preserve">   còn ngược lại thì Tiền thuê = Giờ * Đơn giá/1 giờ + Phút * Đơn giá/1 phút. (Theo BẢNG 1)</t>
  </si>
  <si>
    <t>5- Thống kê doanh thu theo số thứ tự máy như BẢNG THỐNG KÊ trên.</t>
  </si>
  <si>
    <t>T</t>
  </si>
  <si>
    <t>Thực hành</t>
  </si>
  <si>
    <t>I</t>
  </si>
  <si>
    <t>Internet</t>
  </si>
  <si>
    <t>M</t>
  </si>
  <si>
    <t>Checkmail</t>
  </si>
  <si>
    <t>4- Tiền phải trả: Nếu thuê nhiều hơn 2 giờ thì giảm 20% của Tiền thuê Còn ngược lại thì không giảm</t>
  </si>
  <si>
    <t>05/06/2025</t>
  </si>
  <si>
    <t>01</t>
  </si>
  <si>
    <t>03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</si>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</sst>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16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i/>
      <u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/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right" vertical="center"/>
    </xf>
    <xf numFmtId="2" fontId="0" fillId="0" borderId="0" xfId="0" applyNumberFormat="1"/>
    <xf numFmtId="0" fontId="6" fillId="0" borderId="0" xfId="0" applyFont="1" applyAlignment="1">
      <alignment vertical="center"/>
    </xf>
    <xf numFmtId="14" fontId="6" fillId="0" borderId="0" xfId="0" quotePrefix="1" applyNumberFormat="1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zoomScale="130" zoomScaleNormal="130" workbookViewId="0">
      <selection activeCell="I5" sqref="I5"/>
    </sheetView>
  </sheetViews>
  <sheetFormatPr defaultRowHeight="14.25" x14ac:dyDescent="0.2"/>
  <cols>
    <col min="2" max="2" width="11.25" customWidth="1"/>
    <col min="5" max="6" width="10.75" customWidth="1"/>
    <col min="7" max="8" width="11.25" customWidth="1"/>
  </cols>
  <sheetData>
    <row r="1" spans="1:11" ht="32.25" customHeight="1" x14ac:dyDescent="0.2">
      <c r="A1" s="10" t="s">
        <v>0</v>
      </c>
      <c r="B1" s="11"/>
      <c r="C1" s="11"/>
      <c r="D1" s="11"/>
      <c r="E1" s="11"/>
      <c r="F1" s="11"/>
      <c r="G1" s="11"/>
      <c r="H1" s="11"/>
    </row>
    <row r="2" spans="1:11" s="13" customFormat="1" ht="30.75" customHeight="1" x14ac:dyDescent="0.2">
      <c r="A2" s="12" t="s">
        <v>1</v>
      </c>
      <c r="B2" s="12" t="s">
        <v>2</v>
      </c>
      <c r="C2" s="12" t="s">
        <v>3</v>
      </c>
      <c r="D2" s="12" t="s">
        <v>4</v>
      </c>
      <c r="E2" s="18" t="s">
        <v>5</v>
      </c>
      <c r="F2" s="19"/>
      <c r="G2" s="12" t="s">
        <v>6</v>
      </c>
      <c r="H2" s="12" t="s">
        <v>7</v>
      </c>
    </row>
    <row r="3" spans="1:11" s="13" customFormat="1" ht="15.75" x14ac:dyDescent="0.2">
      <c r="A3" s="16"/>
      <c r="B3" s="16"/>
      <c r="C3" s="16"/>
      <c r="D3" s="16"/>
      <c r="E3" s="14" t="s">
        <v>8</v>
      </c>
      <c r="F3" s="15" t="s">
        <v>9</v>
      </c>
      <c r="G3" s="16"/>
      <c r="H3" s="16"/>
    </row>
    <row r="4" spans="1:11" ht="15.75" x14ac:dyDescent="0.2">
      <c r="A4" s="7" t="s">
        <v>10</v>
      </c>
      <c r="B4" s="21" t="str">
        <f>VLOOKUP(RIGHT(A4,1),$J$5:$K$7,2,0)</f>
        <v>Thực hành</v>
      </c>
      <c r="C4" s="9">
        <v>0.375</v>
      </c>
      <c r="D4" s="9">
        <v>0.4375</v>
      </c>
      <c r="E4" s="8">
        <f>HOUR(D4-C4)</f>
        <v>1</v>
      </c>
      <c r="F4" s="8">
        <f>MINUTE(D4-C4)</f>
        <v>30</v>
      </c>
      <c r="G4" s="22">
        <f>IF(B4="Checkmail",3500,E4*$C$16+F4*$C$17)</f>
        <v>7000</v>
      </c>
      <c r="H4" s="22">
        <f>IF((E4+F4/60)&gt;2,G4-G4*20%,G4)</f>
        <v>7000</v>
      </c>
    </row>
    <row r="5" spans="1:11" ht="15.75" x14ac:dyDescent="0.2">
      <c r="A5" s="7" t="s">
        <v>11</v>
      </c>
      <c r="B5" s="21" t="str">
        <f t="shared" ref="B5:B12" si="0">VLOOKUP(RIGHT(A5,1),$J$5:$K$7,2,0)</f>
        <v>Internet</v>
      </c>
      <c r="C5" s="9">
        <v>0.37847222222222227</v>
      </c>
      <c r="D5" s="9">
        <v>0.41666666666666669</v>
      </c>
      <c r="E5" s="8">
        <f t="shared" ref="E5:E12" si="1">HOUR(D5-C5)</f>
        <v>0</v>
      </c>
      <c r="F5" s="8">
        <f t="shared" ref="F5:F12" si="2">MINUTE(D5-C5)</f>
        <v>55</v>
      </c>
      <c r="G5" s="22">
        <f t="shared" ref="G5:G12" si="3">IF(B5="Checkmail",3500,E5*$C$16+F5*$C$17)</f>
        <v>5500</v>
      </c>
      <c r="H5" s="22">
        <f t="shared" ref="H5:H12" si="4">IF((E5+F5/60)&gt;2,G5-G5*20%,G5)</f>
        <v>5500</v>
      </c>
      <c r="J5" s="20" t="s">
        <v>36</v>
      </c>
      <c r="K5" s="20" t="s">
        <v>37</v>
      </c>
    </row>
    <row r="6" spans="1:11" ht="15.75" x14ac:dyDescent="0.2">
      <c r="A6" s="7" t="s">
        <v>12</v>
      </c>
      <c r="B6" s="21" t="str">
        <f t="shared" si="0"/>
        <v>Checkmail</v>
      </c>
      <c r="C6" s="9">
        <v>0.58333333333333337</v>
      </c>
      <c r="D6" s="9">
        <v>0.59375</v>
      </c>
      <c r="E6" s="8">
        <f t="shared" si="1"/>
        <v>0</v>
      </c>
      <c r="F6" s="8">
        <f t="shared" si="2"/>
        <v>15</v>
      </c>
      <c r="G6" s="22">
        <f t="shared" si="3"/>
        <v>3500</v>
      </c>
      <c r="H6" s="22">
        <f t="shared" si="4"/>
        <v>3500</v>
      </c>
      <c r="J6" s="20" t="s">
        <v>38</v>
      </c>
      <c r="K6" s="20" t="s">
        <v>39</v>
      </c>
    </row>
    <row r="7" spans="1:11" ht="15.75" x14ac:dyDescent="0.2">
      <c r="A7" s="7" t="s">
        <v>13</v>
      </c>
      <c r="B7" s="21" t="str">
        <f t="shared" si="0"/>
        <v>Thực hành</v>
      </c>
      <c r="C7" s="9">
        <v>0.64583333333333337</v>
      </c>
      <c r="D7" s="9">
        <v>0.75</v>
      </c>
      <c r="E7" s="8">
        <f t="shared" si="1"/>
        <v>2</v>
      </c>
      <c r="F7" s="8">
        <f t="shared" si="2"/>
        <v>30</v>
      </c>
      <c r="G7" s="22">
        <f t="shared" si="3"/>
        <v>11000</v>
      </c>
      <c r="H7" s="22">
        <f t="shared" si="4"/>
        <v>8800</v>
      </c>
      <c r="J7" s="20" t="s">
        <v>40</v>
      </c>
      <c r="K7" s="20" t="s">
        <v>41</v>
      </c>
    </row>
    <row r="8" spans="1:11" ht="15.75" x14ac:dyDescent="0.2">
      <c r="A8" s="7" t="s">
        <v>14</v>
      </c>
      <c r="B8" s="21" t="str">
        <f t="shared" si="0"/>
        <v>Internet</v>
      </c>
      <c r="C8" s="9">
        <v>0.79166666666666663</v>
      </c>
      <c r="D8" s="9">
        <v>0.85416666666666663</v>
      </c>
      <c r="E8" s="8">
        <f t="shared" si="1"/>
        <v>1</v>
      </c>
      <c r="F8" s="8">
        <f t="shared" si="2"/>
        <v>30</v>
      </c>
      <c r="G8" s="22">
        <f t="shared" si="3"/>
        <v>7000</v>
      </c>
      <c r="H8" s="22">
        <f t="shared" si="4"/>
        <v>7000</v>
      </c>
    </row>
    <row r="9" spans="1:11" ht="15.75" x14ac:dyDescent="0.2">
      <c r="A9" s="7" t="s">
        <v>11</v>
      </c>
      <c r="B9" s="21" t="str">
        <f t="shared" si="0"/>
        <v>Internet</v>
      </c>
      <c r="C9" s="9">
        <v>0.4375</v>
      </c>
      <c r="D9" s="9">
        <v>0.64583333333333337</v>
      </c>
      <c r="E9" s="8">
        <f t="shared" si="1"/>
        <v>5</v>
      </c>
      <c r="F9" s="8">
        <f t="shared" si="2"/>
        <v>0</v>
      </c>
      <c r="G9" s="22">
        <f t="shared" si="3"/>
        <v>20000</v>
      </c>
      <c r="H9" s="22">
        <f t="shared" si="4"/>
        <v>16000</v>
      </c>
    </row>
    <row r="10" spans="1:11" ht="15.75" x14ac:dyDescent="0.2">
      <c r="A10" s="7" t="s">
        <v>15</v>
      </c>
      <c r="B10" s="21" t="str">
        <f t="shared" si="0"/>
        <v>Internet</v>
      </c>
      <c r="C10" s="9">
        <v>0.75694444444444453</v>
      </c>
      <c r="D10" s="9">
        <v>0.84375</v>
      </c>
      <c r="E10" s="8">
        <f t="shared" si="1"/>
        <v>2</v>
      </c>
      <c r="F10" s="8">
        <f t="shared" si="2"/>
        <v>5</v>
      </c>
      <c r="G10" s="22">
        <f t="shared" si="3"/>
        <v>8500</v>
      </c>
      <c r="H10" s="22">
        <f t="shared" si="4"/>
        <v>6800</v>
      </c>
    </row>
    <row r="11" spans="1:11" ht="15.75" x14ac:dyDescent="0.2">
      <c r="A11" s="7" t="s">
        <v>16</v>
      </c>
      <c r="B11" s="21" t="str">
        <f t="shared" si="0"/>
        <v>Checkmail</v>
      </c>
      <c r="C11" s="9">
        <v>0.70833333333333337</v>
      </c>
      <c r="D11" s="9">
        <v>0.71875</v>
      </c>
      <c r="E11" s="8">
        <f t="shared" si="1"/>
        <v>0</v>
      </c>
      <c r="F11" s="8">
        <f t="shared" si="2"/>
        <v>15</v>
      </c>
      <c r="G11" s="22">
        <f t="shared" si="3"/>
        <v>3500</v>
      </c>
      <c r="H11" s="22">
        <f t="shared" si="4"/>
        <v>3500</v>
      </c>
    </row>
    <row r="12" spans="1:11" ht="15.75" x14ac:dyDescent="0.2">
      <c r="A12" s="7" t="s">
        <v>17</v>
      </c>
      <c r="B12" s="21" t="str">
        <f t="shared" si="0"/>
        <v>Thực hành</v>
      </c>
      <c r="C12" s="9">
        <v>0.375</v>
      </c>
      <c r="D12" s="9">
        <v>0.45833333333333331</v>
      </c>
      <c r="E12" s="8">
        <f t="shared" si="1"/>
        <v>2</v>
      </c>
      <c r="F12" s="8">
        <f t="shared" si="2"/>
        <v>0</v>
      </c>
      <c r="G12" s="22">
        <f t="shared" si="3"/>
        <v>8000</v>
      </c>
      <c r="H12" s="22">
        <f t="shared" si="4"/>
        <v>8000</v>
      </c>
    </row>
    <row r="13" spans="1:11" ht="15" x14ac:dyDescent="0.2">
      <c r="A13" s="1"/>
      <c r="B13" s="1"/>
      <c r="C13" s="1"/>
      <c r="D13" s="1"/>
      <c r="E13" s="17"/>
      <c r="F13" s="1"/>
      <c r="G13" s="1"/>
      <c r="H13" s="1"/>
    </row>
    <row r="14" spans="1:11" ht="15.75" x14ac:dyDescent="0.2">
      <c r="A14" s="26" t="s">
        <v>18</v>
      </c>
      <c r="B14" s="26"/>
      <c r="C14" s="26"/>
      <c r="D14" s="1"/>
      <c r="E14" s="1"/>
      <c r="F14" s="29" t="s">
        <v>19</v>
      </c>
      <c r="G14" s="29"/>
      <c r="H14" s="1"/>
      <c r="J14">
        <v>2.2467999999999999</v>
      </c>
    </row>
    <row r="15" spans="1:11" ht="15.75" x14ac:dyDescent="0.2">
      <c r="A15" s="5" t="s">
        <v>20</v>
      </c>
      <c r="B15" s="5"/>
      <c r="C15" s="6" t="s">
        <v>21</v>
      </c>
      <c r="D15" s="1"/>
      <c r="E15" s="1"/>
      <c r="F15" s="6" t="s">
        <v>22</v>
      </c>
      <c r="G15" s="6" t="s">
        <v>23</v>
      </c>
      <c r="H15" s="1"/>
      <c r="J15" s="23">
        <v>2.2467999999999999</v>
      </c>
      <c r="K15">
        <f>ROUND(J14,2)</f>
        <v>2.25</v>
      </c>
    </row>
    <row r="16" spans="1:11" ht="15.75" x14ac:dyDescent="0.2">
      <c r="A16" s="27" t="s">
        <v>24</v>
      </c>
      <c r="B16" s="27"/>
      <c r="C16" s="28">
        <v>4000</v>
      </c>
      <c r="D16" s="1"/>
      <c r="E16" s="1"/>
      <c r="F16" s="30" t="s">
        <v>44</v>
      </c>
      <c r="G16" s="22">
        <f>SUMIF($A$4:$A$12,F16&amp;"*",$H$4:$H$12)</f>
        <v>13800</v>
      </c>
      <c r="H16" s="1"/>
      <c r="J16">
        <f>J15/2</f>
        <v>1.1234</v>
      </c>
      <c r="K16">
        <f>K15/2</f>
        <v>1.125</v>
      </c>
    </row>
    <row r="17" spans="1:8" ht="15.75" x14ac:dyDescent="0.2">
      <c r="A17" s="27" t="s">
        <v>25</v>
      </c>
      <c r="B17" s="27"/>
      <c r="C17" s="28">
        <v>100</v>
      </c>
      <c r="D17" s="1"/>
      <c r="E17" s="1"/>
      <c r="F17" s="30" t="s">
        <v>46</v>
      </c>
      <c r="G17" s="22">
        <f t="shared" ref="G17:G18" si="5">SUMIF($A$4:$A$12,F17&amp;"*",$H$4:$H$12)</f>
        <v>21500</v>
      </c>
      <c r="H17" s="1"/>
    </row>
    <row r="18" spans="1:8" ht="15.75" x14ac:dyDescent="0.2">
      <c r="A18" s="1"/>
      <c r="B18" s="1"/>
      <c r="C18" s="1"/>
      <c r="D18" s="1"/>
      <c r="E18" s="1"/>
      <c r="F18" s="30" t="s">
        <v>45</v>
      </c>
      <c r="G18" s="22">
        <f t="shared" si="5"/>
        <v>3500</v>
      </c>
      <c r="H18" s="1"/>
    </row>
    <row r="19" spans="1:8" ht="15.75" x14ac:dyDescent="0.2">
      <c r="A19" s="2" t="s">
        <v>26</v>
      </c>
      <c r="B19" s="1"/>
      <c r="C19" s="1"/>
      <c r="D19" s="1"/>
      <c r="E19" s="1"/>
      <c r="F19" s="1"/>
      <c r="G19" s="1"/>
      <c r="H19" s="1"/>
    </row>
    <row r="20" spans="1:8" ht="15.75" x14ac:dyDescent="0.2">
      <c r="A20" s="3" t="s">
        <v>27</v>
      </c>
      <c r="B20" s="3"/>
      <c r="C20" s="3"/>
      <c r="D20" s="3"/>
      <c r="E20" s="1"/>
      <c r="F20" s="1"/>
      <c r="G20" s="1"/>
      <c r="H20" s="1"/>
    </row>
    <row r="21" spans="1:8" ht="15.75" x14ac:dyDescent="0.2">
      <c r="A21" s="3" t="s">
        <v>28</v>
      </c>
      <c r="B21" s="3"/>
      <c r="C21" s="3"/>
      <c r="D21" s="3"/>
      <c r="E21" s="3"/>
      <c r="F21" s="3"/>
      <c r="G21" s="3"/>
      <c r="H21" s="3"/>
    </row>
    <row r="22" spans="1:8" ht="15.75" x14ac:dyDescent="0.2">
      <c r="A22" s="4" t="s">
        <v>29</v>
      </c>
      <c r="B22" s="4"/>
      <c r="C22" s="1"/>
      <c r="D22" s="1"/>
      <c r="E22" s="1"/>
      <c r="F22" s="1"/>
      <c r="G22" s="1"/>
      <c r="H22" s="1"/>
    </row>
    <row r="23" spans="1:8" ht="15.75" x14ac:dyDescent="0.2">
      <c r="A23" s="3" t="s">
        <v>30</v>
      </c>
      <c r="B23" s="3"/>
      <c r="C23" s="3"/>
      <c r="D23" s="3"/>
      <c r="E23" s="3"/>
      <c r="F23" s="3"/>
      <c r="G23" s="3"/>
      <c r="H23" s="1"/>
    </row>
    <row r="24" spans="1:8" ht="15.75" x14ac:dyDescent="0.2">
      <c r="A24" s="3" t="s">
        <v>31</v>
      </c>
      <c r="B24" s="3"/>
      <c r="C24" s="3"/>
      <c r="D24" s="3"/>
      <c r="E24" s="3"/>
      <c r="F24" s="1"/>
      <c r="G24" s="1"/>
      <c r="H24" s="1"/>
    </row>
    <row r="25" spans="1:8" ht="15.75" x14ac:dyDescent="0.2">
      <c r="A25" s="3" t="s">
        <v>32</v>
      </c>
      <c r="B25" s="3"/>
      <c r="C25" s="3"/>
      <c r="D25" s="3"/>
      <c r="E25" s="3"/>
      <c r="F25" s="1"/>
      <c r="G25" s="1"/>
      <c r="H25" s="1"/>
    </row>
    <row r="26" spans="1:8" ht="15.75" x14ac:dyDescent="0.2">
      <c r="A26" s="3" t="s">
        <v>33</v>
      </c>
      <c r="B26" s="3"/>
      <c r="C26" s="3"/>
      <c r="D26" s="3"/>
      <c r="E26" s="3"/>
      <c r="F26" s="3"/>
      <c r="G26" s="3"/>
      <c r="H26" s="3"/>
    </row>
    <row r="27" spans="1:8" ht="15.75" x14ac:dyDescent="0.2">
      <c r="A27" s="3" t="s">
        <v>34</v>
      </c>
      <c r="B27" s="3"/>
      <c r="C27" s="3"/>
      <c r="D27" s="3"/>
      <c r="E27" s="3"/>
      <c r="F27" s="3"/>
      <c r="G27" s="3"/>
      <c r="H27" s="3"/>
    </row>
    <row r="28" spans="1:8" ht="15.75" x14ac:dyDescent="0.2">
      <c r="A28" s="3" t="s">
        <v>42</v>
      </c>
      <c r="B28" s="3"/>
      <c r="C28" s="3"/>
      <c r="D28" s="3"/>
      <c r="E28" s="3"/>
      <c r="F28" s="3"/>
      <c r="G28" s="3"/>
      <c r="H28" s="3"/>
    </row>
    <row r="29" spans="1:8" ht="15.75" x14ac:dyDescent="0.2">
      <c r="A29" s="3" t="s">
        <v>35</v>
      </c>
      <c r="B29" s="3"/>
      <c r="C29" s="3"/>
      <c r="D29" s="3"/>
      <c r="E29" s="3"/>
      <c r="F29" s="3"/>
      <c r="G29" s="3"/>
      <c r="H29" s="3"/>
    </row>
  </sheetData>
  <mergeCells count="23">
    <mergeCell ref="A27:H27"/>
    <mergeCell ref="A28:H28"/>
    <mergeCell ref="A29:H29"/>
    <mergeCell ref="E2:F2"/>
    <mergeCell ref="G2:G3"/>
    <mergeCell ref="A23:G23"/>
    <mergeCell ref="A24:E24"/>
    <mergeCell ref="A25:E25"/>
    <mergeCell ref="A26:H26"/>
    <mergeCell ref="A20:D20"/>
    <mergeCell ref="A21:H21"/>
    <mergeCell ref="A22:B22"/>
    <mergeCell ref="F14:G14"/>
    <mergeCell ref="A15:B15"/>
    <mergeCell ref="A16:B16"/>
    <mergeCell ref="A17:B17"/>
    <mergeCell ref="A14:C14"/>
    <mergeCell ref="A1:H1"/>
    <mergeCell ref="A2:A3"/>
    <mergeCell ref="B2:B3"/>
    <mergeCell ref="C2:C3"/>
    <mergeCell ref="D2:D3"/>
    <mergeCell ref="H2:H3"/>
  </mergeCells>
  <pageMargins left="0.7" right="0.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0:C16"/>
  <sheetViews>
    <sheetView topLeftCell="A4" workbookViewId="0">
      <selection activeCell="E12" sqref="E12"/>
    </sheetView>
  </sheetViews>
  <sheetFormatPr defaultRowHeight="15.75" x14ac:dyDescent="0.2"/>
  <cols>
    <col min="1" max="2" width="9" style="24"/>
    <col min="3" max="3" width="15.125" style="24" customWidth="1"/>
    <col min="4" max="16384" width="9" style="24"/>
  </cols>
  <sheetData>
    <row r="10" spans="3:3" x14ac:dyDescent="0.2">
      <c r="C10" s="25" t="s">
        <v>43</v>
      </c>
    </row>
    <row r="12" spans="3:3" x14ac:dyDescent="0.2">
      <c r="C12" s="24" t="str">
        <f>LEFT(C10,2)</f>
        <v>05</v>
      </c>
    </row>
    <row r="13" spans="3:3" x14ac:dyDescent="0.2">
      <c r="C13" s="24" t="str">
        <f>MID(C10,4,2)</f>
        <v>06</v>
      </c>
    </row>
    <row r="14" spans="3:3" x14ac:dyDescent="0.2">
      <c r="C14" s="24" t="str">
        <f>RIGHT(C10,4)</f>
        <v>2025</v>
      </c>
    </row>
    <row r="16" spans="3:3" x14ac:dyDescent="0.2">
      <c r="C16" s="24" t="str">
        <f>CONCATENATE("Ngày ",C12," tháng ",C13," năm ",C14)</f>
        <v>Ngày 05 tháng 06 năm 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2025-12-12T14:48:17Z</dcterms:modified>
</cp:coreProperties>
</file>